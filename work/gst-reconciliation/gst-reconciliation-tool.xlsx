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urchase_Register" sheetId="2" state="visible" r:id="rId2"/>
    <sheet name="GSTR_2B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5130E"/>
      <sz val="14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244B73"/>
      </patternFill>
    </fill>
  </fills>
  <borders count="2">
    <border>
      <left/>
      <right/>
      <top/>
      <bottom/>
      <diagonal/>
    </border>
    <border>
      <left style="thin">
        <color rgb="00C8C0AE"/>
      </left>
      <right style="thin">
        <color rgb="00C8C0AE"/>
      </right>
      <top style="thin">
        <color rgb="00C8C0AE"/>
      </top>
      <bottom style="thin">
        <color rgb="00C8C0A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3E3DD"/>
        </patternFill>
      </fill>
    </dxf>
    <dxf>
      <fill>
        <patternFill patternType="solid">
          <fgColor rgb="00F4E9D2"/>
        </patternFill>
      </fill>
    </dxf>
    <dxf>
      <fill>
        <patternFill patternType="solid">
          <fgColor rgb="00DDE8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GST INPUT-CREDIT RECONCILIATION TOOL</t>
        </is>
      </c>
    </row>
    <row r="2">
      <c r="A2" t="inlineStr"/>
    </row>
    <row r="3">
      <c r="A3" t="inlineStr">
        <is>
          <t>WHAT IT DOES: matches your Purchase Register against GSTR-2B on (GSTIN | Invoice No) and</t>
        </is>
      </c>
    </row>
    <row r="4">
      <c r="A4" t="inlineStr">
        <is>
          <t>flags each line. Replace the dummy data in the two input sheets with your own and it recomputes.</t>
        </is>
      </c>
    </row>
    <row r="5">
      <c r="A5" t="inlineStr"/>
    </row>
    <row r="6">
      <c r="A6" s="2" t="inlineStr">
        <is>
          <t>THE FOUR OUTCOMES:</t>
        </is>
      </c>
    </row>
    <row r="7">
      <c r="A7" t="inlineStr">
        <is>
          <t xml:space="preserve">  - Matched .................. present in both, values agree -&gt; ITC safe to claim.</t>
        </is>
      </c>
    </row>
    <row r="8">
      <c r="A8" t="inlineStr">
        <is>
          <t xml:space="preserve">  - Matched with difference .. present in both, value/tax differs -&gt; investigate &amp; fix.</t>
        </is>
      </c>
    </row>
    <row r="9">
      <c r="A9" t="inlineStr">
        <is>
          <t xml:space="preserve">  - In books, not in 2B ...... you recorded it, supplier hasn't filed -&gt; ITC AT RISK, follow up.</t>
        </is>
      </c>
    </row>
    <row r="10">
      <c r="A10" t="inlineStr">
        <is>
          <t xml:space="preserve">  - In 2B, not in books ...... appears in 2B but not in your books -&gt; missed entry, or not yours.</t>
        </is>
      </c>
    </row>
    <row r="11">
      <c r="A11" t="inlineStr"/>
    </row>
    <row r="12">
      <c r="A12" s="2" t="inlineStr">
        <is>
          <t>WHY IT MATTERS (ITC rules, in brief):</t>
        </is>
      </c>
    </row>
    <row r="13">
      <c r="A13" t="inlineStr">
        <is>
          <t xml:space="preserve">  - Sec 16(2)(aa) / Rule 36(4): ITC can be claimed only if the invoice appears in GSTR-2B.</t>
        </is>
      </c>
    </row>
    <row r="14">
      <c r="A14" t="inlineStr">
        <is>
          <t xml:space="preserve">    So 'In books, not in 2B' credit cannot be taken until the supplier files it.</t>
        </is>
      </c>
    </row>
    <row r="15">
      <c r="A15" t="inlineStr">
        <is>
          <t xml:space="preserve">  - Other conditions for ITC: valid tax invoice held, goods/services received, tax actually</t>
        </is>
      </c>
    </row>
    <row r="16">
      <c r="A16" t="inlineStr">
        <is>
          <t xml:space="preserve">    paid to government, and the claim is made within the time limit (by 30 Nov of next FY).</t>
        </is>
      </c>
    </row>
    <row r="17">
      <c r="A17" t="inlineStr">
        <is>
          <t xml:space="preserve">  - Sec 17(5): some credits are blocked (e.g. motor vehicles, personal use) - check manually.</t>
        </is>
      </c>
    </row>
    <row r="18">
      <c r="A18" t="inlineStr"/>
    </row>
    <row r="19">
      <c r="A19" s="3" t="inlineStr">
        <is>
          <t>NOTE: dummy data for demonstration. Verify the current rules before relying on this in practice.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4" customWidth="1" min="5" max="5"/>
    <col width="10" customWidth="1" min="6" max="6"/>
    <col width="9" customWidth="1" min="7" max="7"/>
    <col width="9" customWidth="1" min="8" max="8"/>
    <col width="11" customWidth="1" min="9" max="9"/>
    <col width="22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>
      <c r="A1" s="1" t="inlineStr">
        <is>
          <t>PURCHASE REGISTER  (your books)</t>
        </is>
      </c>
    </row>
    <row r="2">
      <c r="A2" s="4" t="inlineStr">
        <is>
          <t>Supplier</t>
        </is>
      </c>
      <c r="B2" s="4" t="inlineStr">
        <is>
          <t>Supplier GSTIN</t>
        </is>
      </c>
      <c r="C2" s="4" t="inlineStr">
        <is>
          <t>Invoice No</t>
        </is>
      </c>
      <c r="D2" s="4" t="inlineStr">
        <is>
          <t>Invoice Date</t>
        </is>
      </c>
      <c r="E2" s="4" t="inlineStr">
        <is>
          <t>Taxable Value</t>
        </is>
      </c>
      <c r="F2" s="4" t="inlineStr">
        <is>
          <t>IGST</t>
        </is>
      </c>
      <c r="G2" s="4" t="inlineStr">
        <is>
          <t>CGST</t>
        </is>
      </c>
      <c r="H2" s="4" t="inlineStr">
        <is>
          <t>SGST</t>
        </is>
      </c>
      <c r="I2" s="4" t="inlineStr">
        <is>
          <t>Total Tax</t>
        </is>
      </c>
      <c r="J2" s="4" t="inlineStr">
        <is>
          <t>Match Key</t>
        </is>
      </c>
      <c r="K2" s="4" t="inlineStr">
        <is>
          <t>2B Taxable</t>
        </is>
      </c>
      <c r="L2" s="4" t="inlineStr">
        <is>
          <t>2B Total Tax</t>
        </is>
      </c>
      <c r="M2" s="4" t="inlineStr">
        <is>
          <t>Tax Difference</t>
        </is>
      </c>
      <c r="N2" s="4" t="inlineStr">
        <is>
          <t>Status</t>
        </is>
      </c>
    </row>
    <row r="3">
      <c r="A3" t="inlineStr">
        <is>
          <t>Alpha Traders</t>
        </is>
      </c>
      <c r="B3" t="inlineStr">
        <is>
          <t>27AABCA1234A1Z5</t>
        </is>
      </c>
      <c r="C3" t="inlineStr">
        <is>
          <t>INV-1001</t>
        </is>
      </c>
      <c r="D3" t="inlineStr">
        <is>
          <t>2026-04-03</t>
        </is>
      </c>
      <c r="E3" s="5" t="n">
        <v>100000</v>
      </c>
      <c r="F3" s="5" t="n">
        <v>18000</v>
      </c>
      <c r="G3" s="5" t="n">
        <v>0</v>
      </c>
      <c r="H3" s="5" t="n">
        <v>0</v>
      </c>
      <c r="I3" s="5">
        <f>F3+G3+H3</f>
        <v/>
      </c>
      <c r="J3">
        <f>B3&amp;"|"&amp;C3</f>
        <v/>
      </c>
      <c r="K3" s="5">
        <f>IFERROR(INDEX(GSTR_2B!$E:$E,MATCH(J3,GSTR_2B!$J:$J,0)),"--")</f>
        <v/>
      </c>
      <c r="L3" s="5">
        <f>IFERROR(INDEX(GSTR_2B!$I:$I,MATCH(J3,GSTR_2B!$J:$J,0)),"--")</f>
        <v/>
      </c>
      <c r="M3" s="5">
        <f>IF(ISNUMBER(L3),I3-L3,"--")</f>
        <v/>
      </c>
      <c r="N3">
        <f>IF(NOT(ISNUMBER(L3)),"In books, not in 2B (ITC at risk)",IF(AND(ABS(I3-L3)&lt;=1,ABS(E3-K3)&lt;=1),"Matched","Matched with difference"))</f>
        <v/>
      </c>
    </row>
    <row r="4">
      <c r="A4" t="inlineStr">
        <is>
          <t>Bharat Supplies</t>
        </is>
      </c>
      <c r="B4" t="inlineStr">
        <is>
          <t>33BBPCB5678B1Z3</t>
        </is>
      </c>
      <c r="C4" t="inlineStr">
        <is>
          <t>INV-2002</t>
        </is>
      </c>
      <c r="D4" t="inlineStr">
        <is>
          <t>2026-04-07</t>
        </is>
      </c>
      <c r="E4" s="5" t="n">
        <v>50000</v>
      </c>
      <c r="F4" s="5" t="n">
        <v>0</v>
      </c>
      <c r="G4" s="5" t="n">
        <v>4500</v>
      </c>
      <c r="H4" s="5" t="n">
        <v>4500</v>
      </c>
      <c r="I4" s="5">
        <f>F4+G4+H4</f>
        <v/>
      </c>
      <c r="J4">
        <f>B4&amp;"|"&amp;C4</f>
        <v/>
      </c>
      <c r="K4" s="5">
        <f>IFERROR(INDEX(GSTR_2B!$E:$E,MATCH(J4,GSTR_2B!$J:$J,0)),"--")</f>
        <v/>
      </c>
      <c r="L4" s="5">
        <f>IFERROR(INDEX(GSTR_2B!$I:$I,MATCH(J4,GSTR_2B!$J:$J,0)),"--")</f>
        <v/>
      </c>
      <c r="M4" s="5">
        <f>IF(ISNUMBER(L4),I4-L4,"--")</f>
        <v/>
      </c>
      <c r="N4">
        <f>IF(NOT(ISNUMBER(L4)),"In books, not in 2B (ITC at risk)",IF(AND(ABS(I4-L4)&lt;=1,ABS(E4-K4)&lt;=1),"Matched","Matched with difference"))</f>
        <v/>
      </c>
    </row>
    <row r="5">
      <c r="A5" t="inlineStr">
        <is>
          <t>Chola Steel</t>
        </is>
      </c>
      <c r="B5" t="inlineStr">
        <is>
          <t>33CCDCC9012C1Z1</t>
        </is>
      </c>
      <c r="C5" t="inlineStr">
        <is>
          <t>INV-3003</t>
        </is>
      </c>
      <c r="D5" t="inlineStr">
        <is>
          <t>2026-04-12</t>
        </is>
      </c>
      <c r="E5" s="5" t="n">
        <v>80000</v>
      </c>
      <c r="F5" s="5" t="n">
        <v>14400</v>
      </c>
      <c r="G5" s="5" t="n">
        <v>0</v>
      </c>
      <c r="H5" s="5" t="n">
        <v>0</v>
      </c>
      <c r="I5" s="5">
        <f>F5+G5+H5</f>
        <v/>
      </c>
      <c r="J5">
        <f>B5&amp;"|"&amp;C5</f>
        <v/>
      </c>
      <c r="K5" s="5">
        <f>IFERROR(INDEX(GSTR_2B!$E:$E,MATCH(J5,GSTR_2B!$J:$J,0)),"--")</f>
        <v/>
      </c>
      <c r="L5" s="5">
        <f>IFERROR(INDEX(GSTR_2B!$I:$I,MATCH(J5,GSTR_2B!$J:$J,0)),"--")</f>
        <v/>
      </c>
      <c r="M5" s="5">
        <f>IF(ISNUMBER(L5),I5-L5,"--")</f>
        <v/>
      </c>
      <c r="N5">
        <f>IF(NOT(ISNUMBER(L5)),"In books, not in 2B (ITC at risk)",IF(AND(ABS(I5-L5)&lt;=1,ABS(E5-K5)&lt;=1),"Matched","Matched with difference"))</f>
        <v/>
      </c>
    </row>
    <row r="6">
      <c r="A6" t="inlineStr">
        <is>
          <t>Deccan Pipes</t>
        </is>
      </c>
      <c r="B6" t="inlineStr">
        <is>
          <t>36DDECD3456D1Z9</t>
        </is>
      </c>
      <c r="C6" t="inlineStr">
        <is>
          <t>INV-4004</t>
        </is>
      </c>
      <c r="D6" t="inlineStr">
        <is>
          <t>2026-04-15</t>
        </is>
      </c>
      <c r="E6" s="5" t="n">
        <v>30000</v>
      </c>
      <c r="F6" s="5" t="n">
        <v>5400</v>
      </c>
      <c r="G6" s="5" t="n">
        <v>0</v>
      </c>
      <c r="H6" s="5" t="n">
        <v>0</v>
      </c>
      <c r="I6" s="5">
        <f>F6+G6+H6</f>
        <v/>
      </c>
      <c r="J6">
        <f>B6&amp;"|"&amp;C6</f>
        <v/>
      </c>
      <c r="K6" s="5">
        <f>IFERROR(INDEX(GSTR_2B!$E:$E,MATCH(J6,GSTR_2B!$J:$J,0)),"--")</f>
        <v/>
      </c>
      <c r="L6" s="5">
        <f>IFERROR(INDEX(GSTR_2B!$I:$I,MATCH(J6,GSTR_2B!$J:$J,0)),"--")</f>
        <v/>
      </c>
      <c r="M6" s="5">
        <f>IF(ISNUMBER(L6),I6-L6,"--")</f>
        <v/>
      </c>
      <c r="N6">
        <f>IF(NOT(ISNUMBER(L6)),"In books, not in 2B (ITC at risk)",IF(AND(ABS(I6-L6)&lt;=1,ABS(E6-K6)&lt;=1),"Matched","Matched with difference"))</f>
        <v/>
      </c>
    </row>
    <row r="7">
      <c r="A7" t="inlineStr">
        <is>
          <t>Everest Tools</t>
        </is>
      </c>
      <c r="B7" t="inlineStr">
        <is>
          <t>29EEFCE7890E1Z7</t>
        </is>
      </c>
      <c r="C7" t="inlineStr">
        <is>
          <t>INV-5005</t>
        </is>
      </c>
      <c r="D7" t="inlineStr">
        <is>
          <t>2026-04-18</t>
        </is>
      </c>
      <c r="E7" s="5" t="n">
        <v>25000</v>
      </c>
      <c r="F7" s="5" t="n">
        <v>0</v>
      </c>
      <c r="G7" s="5" t="n">
        <v>2250</v>
      </c>
      <c r="H7" s="5" t="n">
        <v>2250</v>
      </c>
      <c r="I7" s="5">
        <f>F7+G7+H7</f>
        <v/>
      </c>
      <c r="J7">
        <f>B7&amp;"|"&amp;C7</f>
        <v/>
      </c>
      <c r="K7" s="5">
        <f>IFERROR(INDEX(GSTR_2B!$E:$E,MATCH(J7,GSTR_2B!$J:$J,0)),"--")</f>
        <v/>
      </c>
      <c r="L7" s="5">
        <f>IFERROR(INDEX(GSTR_2B!$I:$I,MATCH(J7,GSTR_2B!$J:$J,0)),"--")</f>
        <v/>
      </c>
      <c r="M7" s="5">
        <f>IF(ISNUMBER(L7),I7-L7,"--")</f>
        <v/>
      </c>
      <c r="N7">
        <f>IF(NOT(ISNUMBER(L7)),"In books, not in 2B (ITC at risk)",IF(AND(ABS(I7-L7)&lt;=1,ABS(E7-K7)&lt;=1),"Matched","Matched with difference"))</f>
        <v/>
      </c>
    </row>
    <row r="8">
      <c r="A8" t="inlineStr">
        <is>
          <t>Falcon Pack</t>
        </is>
      </c>
      <c r="B8" t="inlineStr">
        <is>
          <t>24FFGCF2345F1Z2</t>
        </is>
      </c>
      <c r="C8" t="inlineStr">
        <is>
          <t>INV-6006</t>
        </is>
      </c>
      <c r="D8" t="inlineStr">
        <is>
          <t>2026-04-22</t>
        </is>
      </c>
      <c r="E8" s="5" t="n">
        <v>60000</v>
      </c>
      <c r="F8" s="5" t="n">
        <v>10800</v>
      </c>
      <c r="G8" s="5" t="n">
        <v>0</v>
      </c>
      <c r="H8" s="5" t="n">
        <v>0</v>
      </c>
      <c r="I8" s="5">
        <f>F8+G8+H8</f>
        <v/>
      </c>
      <c r="J8">
        <f>B8&amp;"|"&amp;C8</f>
        <v/>
      </c>
      <c r="K8" s="5">
        <f>IFERROR(INDEX(GSTR_2B!$E:$E,MATCH(J8,GSTR_2B!$J:$J,0)),"--")</f>
        <v/>
      </c>
      <c r="L8" s="5">
        <f>IFERROR(INDEX(GSTR_2B!$I:$I,MATCH(J8,GSTR_2B!$J:$J,0)),"--")</f>
        <v/>
      </c>
      <c r="M8" s="5">
        <f>IF(ISNUMBER(L8),I8-L8,"--")</f>
        <v/>
      </c>
      <c r="N8">
        <f>IF(NOT(ISNUMBER(L8)),"In books, not in 2B (ITC at risk)",IF(AND(ABS(I8-L8)&lt;=1,ABS(E8-K8)&lt;=1),"Matched","Matched with difference"))</f>
        <v/>
      </c>
    </row>
    <row r="9">
      <c r="A9" t="inlineStr">
        <is>
          <t>Ganga Chem</t>
        </is>
      </c>
      <c r="B9" t="inlineStr">
        <is>
          <t>33GGHCG6789G1Z4</t>
        </is>
      </c>
      <c r="C9" t="inlineStr">
        <is>
          <t>INV-7007</t>
        </is>
      </c>
      <c r="D9" t="inlineStr">
        <is>
          <t>2026-04-25</t>
        </is>
      </c>
      <c r="E9" s="5" t="n">
        <v>45000</v>
      </c>
      <c r="F9" s="5" t="n">
        <v>0</v>
      </c>
      <c r="G9" s="5" t="n">
        <v>4050</v>
      </c>
      <c r="H9" s="5" t="n">
        <v>4050</v>
      </c>
      <c r="I9" s="5">
        <f>F9+G9+H9</f>
        <v/>
      </c>
      <c r="J9">
        <f>B9&amp;"|"&amp;C9</f>
        <v/>
      </c>
      <c r="K9" s="5">
        <f>IFERROR(INDEX(GSTR_2B!$E:$E,MATCH(J9,GSTR_2B!$J:$J,0)),"--")</f>
        <v/>
      </c>
      <c r="L9" s="5">
        <f>IFERROR(INDEX(GSTR_2B!$I:$I,MATCH(J9,GSTR_2B!$J:$J,0)),"--")</f>
        <v/>
      </c>
      <c r="M9" s="5">
        <f>IF(ISNUMBER(L9),I9-L9,"--")</f>
        <v/>
      </c>
      <c r="N9">
        <f>IF(NOT(ISNUMBER(L9)),"In books, not in 2B (ITC at risk)",IF(AND(ABS(I9-L9)&lt;=1,ABS(E9-K9)&lt;=1),"Matched","Matched with difference"))</f>
        <v/>
      </c>
    </row>
    <row r="10">
      <c r="A10" t="inlineStr">
        <is>
          <t>Hind Logistics</t>
        </is>
      </c>
      <c r="B10" t="inlineStr">
        <is>
          <t>27HHICH0123H1Z6</t>
        </is>
      </c>
      <c r="C10" t="inlineStr">
        <is>
          <t>INV-8008</t>
        </is>
      </c>
      <c r="D10" t="inlineStr">
        <is>
          <t>2026-04-28</t>
        </is>
      </c>
      <c r="E10" s="5" t="n">
        <v>20000</v>
      </c>
      <c r="F10" s="5" t="n">
        <v>3600</v>
      </c>
      <c r="G10" s="5" t="n">
        <v>0</v>
      </c>
      <c r="H10" s="5" t="n">
        <v>0</v>
      </c>
      <c r="I10" s="5">
        <f>F10+G10+H10</f>
        <v/>
      </c>
      <c r="J10">
        <f>B10&amp;"|"&amp;C10</f>
        <v/>
      </c>
      <c r="K10" s="5">
        <f>IFERROR(INDEX(GSTR_2B!$E:$E,MATCH(J10,GSTR_2B!$J:$J,0)),"--")</f>
        <v/>
      </c>
      <c r="L10" s="5">
        <f>IFERROR(INDEX(GSTR_2B!$I:$I,MATCH(J10,GSTR_2B!$J:$J,0)),"--")</f>
        <v/>
      </c>
      <c r="M10" s="5">
        <f>IF(ISNUMBER(L10),I10-L10,"--")</f>
        <v/>
      </c>
      <c r="N10">
        <f>IF(NOT(ISNUMBER(L10)),"In books, not in 2B (ITC at risk)",IF(AND(ABS(I10-L10)&lt;=1,ABS(E10-K10)&lt;=1),"Matched","Matched with difference"))</f>
        <v/>
      </c>
    </row>
  </sheetData>
  <conditionalFormatting sqref="N3:N10">
    <cfRule type="expression" priority="1" dxfId="0">
      <formula>ISNUMBER(SEARCH("risk",N3))</formula>
    </cfRule>
    <cfRule type="expression" priority="2" dxfId="0">
      <formula>ISNUMBER(SEARCH("not in books",N3))</formula>
    </cfRule>
    <cfRule type="expression" priority="3" dxfId="1">
      <formula>ISNUMBER(SEARCH("difference",N3))</formula>
    </cfRule>
    <cfRule type="expression" priority="4" dxfId="2">
      <formula>EXACT(N3,"Matched")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3" customWidth="1" min="4" max="4"/>
    <col width="14" customWidth="1" min="5" max="5"/>
    <col width="10" customWidth="1" min="6" max="6"/>
    <col width="9" customWidth="1" min="7" max="7"/>
    <col width="9" customWidth="1" min="8" max="8"/>
    <col width="11" customWidth="1" min="9" max="9"/>
    <col width="22" customWidth="1" min="10" max="10"/>
    <col width="26" customWidth="1" min="11" max="11"/>
    <col width="26" customWidth="1" min="12" max="12"/>
  </cols>
  <sheetData>
    <row r="1">
      <c r="A1" s="1" t="inlineStr">
        <is>
          <t>GSTR-2B  (what suppliers filed)</t>
        </is>
      </c>
    </row>
    <row r="2">
      <c r="A2" s="4" t="inlineStr">
        <is>
          <t>Supplier</t>
        </is>
      </c>
      <c r="B2" s="4" t="inlineStr">
        <is>
          <t>Supplier GSTIN</t>
        </is>
      </c>
      <c r="C2" s="4" t="inlineStr">
        <is>
          <t>Invoice No</t>
        </is>
      </c>
      <c r="D2" s="4" t="inlineStr">
        <is>
          <t>Invoice Date</t>
        </is>
      </c>
      <c r="E2" s="4" t="inlineStr">
        <is>
          <t>Taxable Value</t>
        </is>
      </c>
      <c r="F2" s="4" t="inlineStr">
        <is>
          <t>IGST</t>
        </is>
      </c>
      <c r="G2" s="4" t="inlineStr">
        <is>
          <t>CGST</t>
        </is>
      </c>
      <c r="H2" s="4" t="inlineStr">
        <is>
          <t>SGST</t>
        </is>
      </c>
      <c r="I2" s="4" t="inlineStr">
        <is>
          <t>Total Tax</t>
        </is>
      </c>
      <c r="J2" s="4" t="inlineStr">
        <is>
          <t>Match Key</t>
        </is>
      </c>
      <c r="K2" s="4" t="inlineStr">
        <is>
          <t>In Books?</t>
        </is>
      </c>
      <c r="L2" s="4" t="inlineStr">
        <is>
          <t>Status</t>
        </is>
      </c>
    </row>
    <row r="3">
      <c r="A3" t="inlineStr">
        <is>
          <t>Alpha Traders</t>
        </is>
      </c>
      <c r="B3" t="inlineStr">
        <is>
          <t>27AABCA1234A1Z5</t>
        </is>
      </c>
      <c r="C3" t="inlineStr">
        <is>
          <t>INV-1001</t>
        </is>
      </c>
      <c r="D3" t="inlineStr">
        <is>
          <t>2026-04-03</t>
        </is>
      </c>
      <c r="E3" s="5" t="n">
        <v>100000</v>
      </c>
      <c r="F3" s="5" t="n">
        <v>18000</v>
      </c>
      <c r="G3" s="5" t="n">
        <v>0</v>
      </c>
      <c r="H3" s="5" t="n">
        <v>0</v>
      </c>
      <c r="I3" s="5">
        <f>F3+G3+H3</f>
        <v/>
      </c>
      <c r="J3">
        <f>B3&amp;"|"&amp;C3</f>
        <v/>
      </c>
      <c r="K3">
        <f>IF(COUNTIF(Purchase_Register!$J:$J,J3)&gt;0,"Yes","No")</f>
        <v/>
      </c>
      <c r="L3">
        <f>IF(K3="No","In 2B, not in books","Also in books")</f>
        <v/>
      </c>
    </row>
    <row r="4">
      <c r="A4" t="inlineStr">
        <is>
          <t>Bharat Supplies</t>
        </is>
      </c>
      <c r="B4" t="inlineStr">
        <is>
          <t>33BBPCB5678B1Z3</t>
        </is>
      </c>
      <c r="C4" t="inlineStr">
        <is>
          <t>INV-2002</t>
        </is>
      </c>
      <c r="D4" t="inlineStr">
        <is>
          <t>2026-04-07</t>
        </is>
      </c>
      <c r="E4" s="5" t="n">
        <v>50000</v>
      </c>
      <c r="F4" s="5" t="n">
        <v>0</v>
      </c>
      <c r="G4" s="5" t="n">
        <v>4500</v>
      </c>
      <c r="H4" s="5" t="n">
        <v>4500</v>
      </c>
      <c r="I4" s="5">
        <f>F4+G4+H4</f>
        <v/>
      </c>
      <c r="J4">
        <f>B4&amp;"|"&amp;C4</f>
        <v/>
      </c>
      <c r="K4">
        <f>IF(COUNTIF(Purchase_Register!$J:$J,J4)&gt;0,"Yes","No")</f>
        <v/>
      </c>
      <c r="L4">
        <f>IF(K4="No","In 2B, not in books","Also in books")</f>
        <v/>
      </c>
    </row>
    <row r="5">
      <c r="A5" t="inlineStr">
        <is>
          <t>Chola Steel</t>
        </is>
      </c>
      <c r="B5" t="inlineStr">
        <is>
          <t>33CCDCC9012C1Z1</t>
        </is>
      </c>
      <c r="C5" t="inlineStr">
        <is>
          <t>INV-3003</t>
        </is>
      </c>
      <c r="D5" t="inlineStr">
        <is>
          <t>2026-04-12</t>
        </is>
      </c>
      <c r="E5" s="5" t="n">
        <v>78000</v>
      </c>
      <c r="F5" s="5" t="n">
        <v>14040</v>
      </c>
      <c r="G5" s="5" t="n">
        <v>0</v>
      </c>
      <c r="H5" s="5" t="n">
        <v>0</v>
      </c>
      <c r="I5" s="5">
        <f>F5+G5+H5</f>
        <v/>
      </c>
      <c r="J5">
        <f>B5&amp;"|"&amp;C5</f>
        <v/>
      </c>
      <c r="K5">
        <f>IF(COUNTIF(Purchase_Register!$J:$J,J5)&gt;0,"Yes","No")</f>
        <v/>
      </c>
      <c r="L5">
        <f>IF(K5="No","In 2B, not in books","Also in books")</f>
        <v/>
      </c>
    </row>
    <row r="6">
      <c r="A6" t="inlineStr">
        <is>
          <t>Everest Tools</t>
        </is>
      </c>
      <c r="B6" t="inlineStr">
        <is>
          <t>29EEFCE7890E1Z7</t>
        </is>
      </c>
      <c r="C6" t="inlineStr">
        <is>
          <t>INV-5005</t>
        </is>
      </c>
      <c r="D6" t="inlineStr">
        <is>
          <t>2026-04-18</t>
        </is>
      </c>
      <c r="E6" s="5" t="n">
        <v>25000</v>
      </c>
      <c r="F6" s="5" t="n">
        <v>0</v>
      </c>
      <c r="G6" s="5" t="n">
        <v>2250</v>
      </c>
      <c r="H6" s="5" t="n">
        <v>2250</v>
      </c>
      <c r="I6" s="5">
        <f>F6+G6+H6</f>
        <v/>
      </c>
      <c r="J6">
        <f>B6&amp;"|"&amp;C6</f>
        <v/>
      </c>
      <c r="K6">
        <f>IF(COUNTIF(Purchase_Register!$J:$J,J6)&gt;0,"Yes","No")</f>
        <v/>
      </c>
      <c r="L6">
        <f>IF(K6="No","In 2B, not in books","Also in books")</f>
        <v/>
      </c>
    </row>
    <row r="7">
      <c r="A7" t="inlineStr">
        <is>
          <t>Falcon Pack</t>
        </is>
      </c>
      <c r="B7" t="inlineStr">
        <is>
          <t>24FFGCF2345F1Z2</t>
        </is>
      </c>
      <c r="C7" t="inlineStr">
        <is>
          <t>INV-6006</t>
        </is>
      </c>
      <c r="D7" t="inlineStr">
        <is>
          <t>2026-04-22</t>
        </is>
      </c>
      <c r="E7" s="5" t="n">
        <v>60000</v>
      </c>
      <c r="F7" s="5" t="n">
        <v>10800</v>
      </c>
      <c r="G7" s="5" t="n">
        <v>0</v>
      </c>
      <c r="H7" s="5" t="n">
        <v>0</v>
      </c>
      <c r="I7" s="5">
        <f>F7+G7+H7</f>
        <v/>
      </c>
      <c r="J7">
        <f>B7&amp;"|"&amp;C7</f>
        <v/>
      </c>
      <c r="K7">
        <f>IF(COUNTIF(Purchase_Register!$J:$J,J7)&gt;0,"Yes","No")</f>
        <v/>
      </c>
      <c r="L7">
        <f>IF(K7="No","In 2B, not in books","Also in books")</f>
        <v/>
      </c>
    </row>
    <row r="8">
      <c r="A8" t="inlineStr">
        <is>
          <t>Hind Logistics</t>
        </is>
      </c>
      <c r="B8" t="inlineStr">
        <is>
          <t>27HHICH0123H1Z6</t>
        </is>
      </c>
      <c r="C8" t="inlineStr">
        <is>
          <t>INV-8008</t>
        </is>
      </c>
      <c r="D8" t="inlineStr">
        <is>
          <t>2026-04-28</t>
        </is>
      </c>
      <c r="E8" s="5" t="n">
        <v>20000</v>
      </c>
      <c r="F8" s="5" t="n">
        <v>3600</v>
      </c>
      <c r="G8" s="5" t="n">
        <v>0</v>
      </c>
      <c r="H8" s="5" t="n">
        <v>0</v>
      </c>
      <c r="I8" s="5">
        <f>F8+G8+H8</f>
        <v/>
      </c>
      <c r="J8">
        <f>B8&amp;"|"&amp;C8</f>
        <v/>
      </c>
      <c r="K8">
        <f>IF(COUNTIF(Purchase_Register!$J:$J,J8)&gt;0,"Yes","No")</f>
        <v/>
      </c>
      <c r="L8">
        <f>IF(K8="No","In 2B, not in books","Also in books")</f>
        <v/>
      </c>
    </row>
    <row r="9">
      <c r="A9" t="inlineStr">
        <is>
          <t>Iyer Agencies</t>
        </is>
      </c>
      <c r="B9" t="inlineStr">
        <is>
          <t>33IIJCI4567I1Z8</t>
        </is>
      </c>
      <c r="C9" t="inlineStr">
        <is>
          <t>INV-9009</t>
        </is>
      </c>
      <c r="D9" t="inlineStr">
        <is>
          <t>2026-04-29</t>
        </is>
      </c>
      <c r="E9" s="5" t="n">
        <v>40000</v>
      </c>
      <c r="F9" s="5" t="n">
        <v>7200</v>
      </c>
      <c r="G9" s="5" t="n">
        <v>0</v>
      </c>
      <c r="H9" s="5" t="n">
        <v>0</v>
      </c>
      <c r="I9" s="5">
        <f>F9+G9+H9</f>
        <v/>
      </c>
      <c r="J9">
        <f>B9&amp;"|"&amp;C9</f>
        <v/>
      </c>
      <c r="K9">
        <f>IF(COUNTIF(Purchase_Register!$J:$J,J9)&gt;0,"Yes","No")</f>
        <v/>
      </c>
      <c r="L9">
        <f>IF(K9="No","In 2B, not in books","Also in books")</f>
        <v/>
      </c>
    </row>
  </sheetData>
  <conditionalFormatting sqref="L3:L9">
    <cfRule type="expression" priority="1" dxfId="0">
      <formula>ISNUMBER(SEARCH("risk",L3))</formula>
    </cfRule>
    <cfRule type="expression" priority="2" dxfId="0">
      <formula>ISNUMBER(SEARCH("not in books",L3))</formula>
    </cfRule>
    <cfRule type="expression" priority="3" dxfId="1">
      <formula>ISNUMBER(SEARCH("difference",L3))</formula>
    </cfRule>
    <cfRule type="expression" priority="4" dxfId="2">
      <formula>EXACT(L3,"Matched")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8" customWidth="1" min="3" max="3"/>
  </cols>
  <sheetData>
    <row r="1">
      <c r="A1" s="1" t="inlineStr">
        <is>
          <t>RECONCILIATION SUMMARY</t>
        </is>
      </c>
    </row>
    <row r="2">
      <c r="A2" s="4" t="inlineStr">
        <is>
          <t>Category</t>
        </is>
      </c>
      <c r="B2" s="4" t="inlineStr">
        <is>
          <t>Count</t>
        </is>
      </c>
      <c r="C2" s="4" t="inlineStr">
        <is>
          <t>Tax amount (Rs)</t>
        </is>
      </c>
    </row>
    <row r="3">
      <c r="A3" t="inlineStr">
        <is>
          <t>Matched</t>
        </is>
      </c>
      <c r="B3">
        <f>COUNTIF(Purchase_Register!N:N,"Matched")</f>
        <v/>
      </c>
      <c r="C3" s="5">
        <f>SUMIF(Purchase_Register!N:N,"Matched",Purchase_Register!I:I)</f>
        <v/>
      </c>
    </row>
    <row r="4">
      <c r="A4" t="inlineStr">
        <is>
          <t>Matched with difference</t>
        </is>
      </c>
      <c r="B4">
        <f>COUNTIF(Purchase_Register!N:N,"Matched with difference")</f>
        <v/>
      </c>
      <c r="C4" s="5">
        <f>SUMIF(Purchase_Register!N:N,"Matched with difference",Purchase_Register!I:I)</f>
        <v/>
      </c>
    </row>
    <row r="5">
      <c r="A5" t="inlineStr">
        <is>
          <t>In books, not in 2B (ITC AT RISK)</t>
        </is>
      </c>
      <c r="B5">
        <f>COUNTIF(Purchase_Register!N:N,"In books, not in 2B (ITC at risk)")</f>
        <v/>
      </c>
      <c r="C5" s="5">
        <f>SUMIF(Purchase_Register!N:N,"In books, not in 2B (ITC at risk)",Purchase_Register!I:I)</f>
        <v/>
      </c>
    </row>
    <row r="6">
      <c r="A6" t="inlineStr">
        <is>
          <t>In 2B, not in books</t>
        </is>
      </c>
      <c r="B6">
        <f>COUNTIF(GSTR_2B!L:L,"In 2B, not in books")</f>
        <v/>
      </c>
      <c r="C6" s="5">
        <f>SUMIF(GSTR_2B!L:L,"In 2B, not in books",GSTR_2B!I:I)</f>
        <v/>
      </c>
    </row>
    <row r="7">
      <c r="A7" t="inlineStr"/>
      <c r="B7" t="inlineStr"/>
      <c r="C7" t="inlineStr"/>
    </row>
    <row r="8">
      <c r="A8" t="inlineStr">
        <is>
          <t>Total ITC in books</t>
        </is>
      </c>
      <c r="B8">
        <f>COUNT(Purchase_Register!I3:I100)</f>
        <v/>
      </c>
      <c r="C8" s="5">
        <f>SUM(Purchase_Register!I:I)</f>
        <v/>
      </c>
    </row>
    <row r="9">
      <c r="A9" t="inlineStr">
        <is>
          <t>ITC safe to claim now (matched)</t>
        </is>
      </c>
      <c r="B9" t="inlineStr"/>
      <c r="C9" s="5">
        <f>SUMIF(Purchase_Register!N:N,"Matched",Purchase_Register!I:I)</f>
        <v/>
      </c>
    </row>
    <row r="10">
      <c r="A10" t="inlineStr">
        <is>
          <t>ITC to follow up (at risk + difference)</t>
        </is>
      </c>
      <c r="B10" t="inlineStr"/>
      <c r="C10" s="5">
        <f>SUM(Purchase_Register!I:I)-SUMIF(Purchase_Register!N:N,"Matched",Purchase_Register!I:I)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2026-05-20T10:32:05Z</dcterms:created>
  <dcterms:modified xsi:type="dcterms:W3CDTF">2026-05-20T10:32:05Z</dcterms:modified>
</cp:coreProperties>
</file>